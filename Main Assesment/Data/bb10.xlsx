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porteus/Documents/GitHub/ssb_s5/Main Assesment/Data/"/>
    </mc:Choice>
  </mc:AlternateContent>
  <xr:revisionPtr revIDLastSave="0" documentId="13_ncr:1_{1C7B4F80-CABF-F248-BF74-5623893E302F}" xr6:coauthVersionLast="47" xr6:coauthVersionMax="47" xr10:uidLastSave="{00000000-0000-0000-0000-000000000000}"/>
  <bookViews>
    <workbookView xWindow="15520" yWindow="3460" windowWidth="14400" windowHeight="13180" xr2:uid="{42A4E558-E23F-45F0-BDBE-11D237685B6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C25" i="1"/>
  <c r="D25" i="1"/>
  <c r="E25" i="1"/>
  <c r="F25" i="1"/>
  <c r="G25" i="1"/>
  <c r="H25" i="1"/>
  <c r="I25" i="1"/>
  <c r="J25" i="1"/>
  <c r="K25" i="1"/>
  <c r="L25" i="1"/>
  <c r="B25" i="1"/>
  <c r="C24" i="1"/>
  <c r="D24" i="1"/>
  <c r="E24" i="1"/>
  <c r="F24" i="1"/>
  <c r="G24" i="1"/>
  <c r="H24" i="1"/>
  <c r="I24" i="1"/>
  <c r="J24" i="1"/>
  <c r="K24" i="1"/>
  <c r="L24" i="1"/>
  <c r="B24" i="1"/>
  <c r="C23" i="1"/>
  <c r="D23" i="1"/>
  <c r="E23" i="1"/>
  <c r="F23" i="1"/>
  <c r="G23" i="1"/>
  <c r="H23" i="1"/>
  <c r="I23" i="1"/>
  <c r="J23" i="1"/>
  <c r="K23" i="1"/>
  <c r="L23" i="1"/>
  <c r="B23" i="1"/>
</calcChain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<sst xmlns="http://schemas.openxmlformats.org/spreadsheetml/2006/main" count="17" uniqueCount="17">
  <si>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</si>
  <si>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</si>
  <si>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1331</t>
  </si>
  <si>
    <t>Test Name: GFP_Standard_TL</t>
  </si>
  <si>
    <t>Date: 05/12/2025</t>
  </si>
  <si>
    <t>Time: 11:29:17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</si>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</sst>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D05C-274E-4EA5-AABC-6719B3BCE241}">
  <dimension ref="A3:O25"/>
  <sheetViews>
    <sheetView tabSelected="1" topLeftCell="J17" zoomScale="223" workbookViewId="0">
      <selection activeCell="I33" sqref="I33"/>
    </sheetView>
  </sheetViews>
  <sheetFormatPr baseColWidth="10" defaultColWidth="8.83203125" defaultRowHeight="15" x14ac:dyDescent="0.2"/>
  <cols>
    <col min="1" max="1" width="4.33203125" customWidth="1"/>
    <col min="15" max="15" width="35.6640625" customWidth="1"/>
  </cols>
  <sheetData>
    <row r="3" spans="1:15" x14ac:dyDescent="0.2">
      <c r="A3" t="s">
        <v>0</v>
      </c>
    </row>
    <row r="4" spans="1:15" x14ac:dyDescent="0.2">
      <c r="A4" t="s">
        <v>1</v>
      </c>
    </row>
    <row r="5" spans="1:15" x14ac:dyDescent="0.2">
      <c r="A5" t="s">
        <v>2</v>
      </c>
    </row>
    <row r="6" spans="1:15" x14ac:dyDescent="0.2">
      <c r="A6" t="s">
        <v>3</v>
      </c>
    </row>
    <row r="7" spans="1:15" x14ac:dyDescent="0.2">
      <c r="A7" t="s">
        <v>4</v>
      </c>
    </row>
    <row r="8" spans="1:15" x14ac:dyDescent="0.2">
      <c r="A8" t="s">
        <v>5</v>
      </c>
    </row>
    <row r="9" spans="1:15" x14ac:dyDescent="0.2">
      <c r="A9" t="s">
        <v>6</v>
      </c>
    </row>
    <row r="13" spans="1:15" x14ac:dyDescent="0.2">
      <c r="B13" t="s">
        <v>7</v>
      </c>
      <c r="O13" s="11"/>
    </row>
    <row r="14" spans="1:15" x14ac:dyDescent="0.2"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  <c r="O14" s="12" t="s">
        <v>16</v>
      </c>
    </row>
    <row r="15" spans="1:15" x14ac:dyDescent="0.2">
      <c r="A15" s="1" t="s">
        <v>8</v>
      </c>
      <c r="B15" s="2">
        <v>79371</v>
      </c>
      <c r="C15" s="3">
        <v>43359</v>
      </c>
      <c r="D15" s="3">
        <v>22104</v>
      </c>
      <c r="E15" s="3">
        <v>11092</v>
      </c>
      <c r="F15" s="3">
        <v>5532</v>
      </c>
      <c r="G15" s="3">
        <v>2771</v>
      </c>
      <c r="H15" s="3">
        <v>1399</v>
      </c>
      <c r="I15" s="3">
        <v>701</v>
      </c>
      <c r="J15" s="3">
        <v>354</v>
      </c>
      <c r="K15" s="3">
        <v>177</v>
      </c>
      <c r="L15" s="3">
        <v>88</v>
      </c>
      <c r="M15" s="4"/>
      <c r="O15" s="13"/>
    </row>
    <row r="16" spans="1:15" x14ac:dyDescent="0.2">
      <c r="A16" s="1" t="s">
        <v>9</v>
      </c>
      <c r="B16" s="5">
        <v>78554</v>
      </c>
      <c r="C16" s="6">
        <v>42853</v>
      </c>
      <c r="D16" s="6">
        <v>21797</v>
      </c>
      <c r="E16" s="6">
        <v>11000</v>
      </c>
      <c r="F16" s="6">
        <v>5542</v>
      </c>
      <c r="G16" s="6">
        <v>2773</v>
      </c>
      <c r="H16" s="6">
        <v>1383</v>
      </c>
      <c r="I16" s="6">
        <v>690</v>
      </c>
      <c r="J16" s="6">
        <v>348</v>
      </c>
      <c r="K16" s="6">
        <v>177</v>
      </c>
      <c r="L16" s="6">
        <v>86</v>
      </c>
      <c r="M16" s="7"/>
    </row>
    <row r="17" spans="1:13" x14ac:dyDescent="0.2">
      <c r="A17" s="1" t="s">
        <v>10</v>
      </c>
      <c r="B17" s="5">
        <v>78890</v>
      </c>
      <c r="C17" s="6">
        <v>42540</v>
      </c>
      <c r="D17" s="6">
        <v>21831</v>
      </c>
      <c r="E17" s="6">
        <v>11006</v>
      </c>
      <c r="F17" s="6">
        <v>5493</v>
      </c>
      <c r="G17" s="6">
        <v>2758</v>
      </c>
      <c r="H17" s="6">
        <v>1386</v>
      </c>
      <c r="I17" s="6">
        <v>699</v>
      </c>
      <c r="J17" s="6">
        <v>361</v>
      </c>
      <c r="K17" s="6">
        <v>174</v>
      </c>
      <c r="L17" s="6">
        <v>91</v>
      </c>
      <c r="M17" s="7"/>
    </row>
    <row r="18" spans="1:13" x14ac:dyDescent="0.2">
      <c r="A18" s="1" t="s">
        <v>11</v>
      </c>
      <c r="B18" s="5">
        <v>78016</v>
      </c>
      <c r="C18" s="6">
        <v>42391</v>
      </c>
      <c r="D18" s="6">
        <v>21501</v>
      </c>
      <c r="E18" s="6">
        <v>10966</v>
      </c>
      <c r="F18" s="6">
        <v>5531</v>
      </c>
      <c r="G18" s="6">
        <v>2779</v>
      </c>
      <c r="H18" s="6">
        <v>1379</v>
      </c>
      <c r="I18" s="6">
        <v>698</v>
      </c>
      <c r="J18" s="6">
        <v>358</v>
      </c>
      <c r="K18" s="6">
        <v>180</v>
      </c>
      <c r="L18" s="6">
        <v>93</v>
      </c>
      <c r="M18" s="7"/>
    </row>
    <row r="19" spans="1:13" x14ac:dyDescent="0.2">
      <c r="A19" s="1" t="s">
        <v>12</v>
      </c>
      <c r="B19" s="5">
        <v>78031</v>
      </c>
      <c r="C19" s="6">
        <v>42311</v>
      </c>
      <c r="D19" s="6">
        <v>21846</v>
      </c>
      <c r="E19" s="6">
        <v>11074</v>
      </c>
      <c r="F19" s="6">
        <v>5486</v>
      </c>
      <c r="G19" s="6">
        <v>2787</v>
      </c>
      <c r="H19" s="6">
        <v>1384</v>
      </c>
      <c r="I19" s="6">
        <v>694</v>
      </c>
      <c r="J19" s="6">
        <v>358</v>
      </c>
      <c r="K19" s="6">
        <v>171</v>
      </c>
      <c r="L19" s="6">
        <v>85</v>
      </c>
      <c r="M19" s="7"/>
    </row>
    <row r="20" spans="1:13" x14ac:dyDescent="0.2">
      <c r="A20" s="1" t="s">
        <v>13</v>
      </c>
      <c r="B20" s="5">
        <v>77017</v>
      </c>
      <c r="C20" s="6">
        <v>41860</v>
      </c>
      <c r="D20" s="6">
        <v>21650</v>
      </c>
      <c r="E20" s="6">
        <v>10940</v>
      </c>
      <c r="F20" s="6">
        <v>5426</v>
      </c>
      <c r="G20" s="6">
        <v>2801</v>
      </c>
      <c r="H20" s="6">
        <v>1369</v>
      </c>
      <c r="I20" s="6">
        <v>696</v>
      </c>
      <c r="J20" s="6">
        <v>347</v>
      </c>
      <c r="K20" s="6">
        <v>175</v>
      </c>
      <c r="L20" s="6">
        <v>90</v>
      </c>
      <c r="M20" s="7"/>
    </row>
    <row r="21" spans="1:13" x14ac:dyDescent="0.2">
      <c r="A21" s="1" t="s">
        <v>14</v>
      </c>
      <c r="B21" s="5">
        <v>77147</v>
      </c>
      <c r="C21" s="6">
        <v>41914</v>
      </c>
      <c r="D21" s="6">
        <v>21300</v>
      </c>
      <c r="E21" s="6">
        <v>10631</v>
      </c>
      <c r="F21" s="6">
        <v>5352</v>
      </c>
      <c r="G21" s="6">
        <v>2653</v>
      </c>
      <c r="H21" s="6">
        <v>1325</v>
      </c>
      <c r="I21" s="6">
        <v>664</v>
      </c>
      <c r="J21" s="6">
        <v>331</v>
      </c>
      <c r="K21" s="6">
        <v>164</v>
      </c>
      <c r="L21" s="6">
        <v>84</v>
      </c>
      <c r="M21" s="7"/>
    </row>
    <row r="22" spans="1:13" x14ac:dyDescent="0.2">
      <c r="A22" s="1" t="s">
        <v>15</v>
      </c>
      <c r="B22" s="8">
        <v>76513</v>
      </c>
      <c r="C22" s="9">
        <v>42094</v>
      </c>
      <c r="D22" s="9">
        <v>21182</v>
      </c>
      <c r="E22" s="9">
        <v>10658</v>
      </c>
      <c r="F22" s="9">
        <v>5314</v>
      </c>
      <c r="G22" s="9">
        <v>2657</v>
      </c>
      <c r="H22" s="9">
        <v>1323</v>
      </c>
      <c r="I22" s="9">
        <v>661</v>
      </c>
      <c r="J22" s="9">
        <v>328</v>
      </c>
      <c r="K22" s="9">
        <v>165</v>
      </c>
      <c r="L22" s="9">
        <v>86</v>
      </c>
      <c r="M22" s="10"/>
    </row>
    <row r="23" spans="1:13" x14ac:dyDescent="0.2">
      <c r="B23">
        <f>AVERAGE(B15:B22)</f>
        <v>77942.375</v>
      </c>
      <c r="C23">
        <f t="shared" ref="C23:L23" si="0">AVERAGE(C15:C22)</f>
        <v>42415.25</v>
      </c>
      <c r="D23">
        <f t="shared" si="0"/>
        <v>21651.375</v>
      </c>
      <c r="E23">
        <f t="shared" si="0"/>
        <v>10920.875</v>
      </c>
      <c r="F23">
        <f t="shared" si="0"/>
        <v>5459.5</v>
      </c>
      <c r="G23">
        <f t="shared" si="0"/>
        <v>2747.375</v>
      </c>
      <c r="H23">
        <f t="shared" si="0"/>
        <v>1368.5</v>
      </c>
      <c r="I23">
        <f t="shared" si="0"/>
        <v>687.875</v>
      </c>
      <c r="J23">
        <f t="shared" si="0"/>
        <v>348.125</v>
      </c>
      <c r="K23">
        <f t="shared" si="0"/>
        <v>172.875</v>
      </c>
      <c r="L23">
        <f t="shared" si="0"/>
        <v>87.875</v>
      </c>
    </row>
    <row r="24" spans="1:13" x14ac:dyDescent="0.2">
      <c r="B24">
        <f>STDEV(B15:B22)</f>
        <v>989.83230000988408</v>
      </c>
      <c r="C24">
        <f t="shared" ref="C24:L24" si="1">STDEV(C15:C22)</f>
        <v>503.14205605517469</v>
      </c>
      <c r="D24">
        <f t="shared" si="1"/>
        <v>307.66676662537714</v>
      </c>
      <c r="E24">
        <f t="shared" si="1"/>
        <v>177.99312787697332</v>
      </c>
      <c r="F24">
        <f t="shared" si="1"/>
        <v>86.889091868394416</v>
      </c>
      <c r="G24">
        <f t="shared" si="1"/>
        <v>58.368135876643223</v>
      </c>
      <c r="H24">
        <f t="shared" si="1"/>
        <v>28.685486624025447</v>
      </c>
      <c r="I24">
        <f t="shared" si="1"/>
        <v>16.030662583222902</v>
      </c>
      <c r="J24">
        <f t="shared" si="1"/>
        <v>12.506426919216945</v>
      </c>
      <c r="K24">
        <f t="shared" si="1"/>
        <v>5.7925444692787149</v>
      </c>
      <c r="L24">
        <f t="shared" si="1"/>
        <v>3.1819805153394638</v>
      </c>
    </row>
    <row r="25" spans="1:13" x14ac:dyDescent="0.2">
      <c r="B25">
        <f>B24/B23</f>
        <v>1.2699539884560665E-2</v>
      </c>
      <c r="C25">
        <f t="shared" ref="C25:L25" si="2">C24/C23</f>
        <v>1.1862291417713552E-2</v>
      </c>
      <c r="D25">
        <f t="shared" si="2"/>
        <v>1.4210033617974708E-2</v>
      </c>
      <c r="E25">
        <f t="shared" si="2"/>
        <v>1.6298431021046694E-2</v>
      </c>
      <c r="F25">
        <f t="shared" si="2"/>
        <v>1.5915210526310911E-2</v>
      </c>
      <c r="G25">
        <f t="shared" si="2"/>
        <v>2.1245056054103727E-2</v>
      </c>
      <c r="H25">
        <f t="shared" si="2"/>
        <v>2.0961261690921044E-2</v>
      </c>
      <c r="I25">
        <f t="shared" si="2"/>
        <v>2.3304615785168674E-2</v>
      </c>
      <c r="J25">
        <f t="shared" si="2"/>
        <v>3.5925104256278477E-2</v>
      </c>
      <c r="K25">
        <f t="shared" si="2"/>
        <v>3.3507126358806739E-2</v>
      </c>
      <c r="L25">
        <f t="shared" si="2"/>
        <v>3.6210304584232876E-2</v>
      </c>
      <c r="M25">
        <f>AVERAGE(B25:L25)</f>
        <v>2.2012634108828918E-2</v>
      </c>
    </row>
  </sheetData>
  <conditionalFormatting sqref="B15:L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Wilson Porteus</cp:lastModifiedBy>
  <dcterms:created xsi:type="dcterms:W3CDTF">2025-12-05T11:30:31Z</dcterms:created>
  <dcterms:modified xsi:type="dcterms:W3CDTF">2025-12-05T16:33:56Z</dcterms:modified>
</cp:coreProperties>
</file>