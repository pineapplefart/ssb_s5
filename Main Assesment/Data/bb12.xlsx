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sonporteus/Documents/GitHub/ssb_s5/Main Assesment/Data/"/>
    </mc:Choice>
  </mc:AlternateContent>
  <xr:revisionPtr revIDLastSave="0" documentId="13_ncr:1_{FE47A59B-A99A-6B4B-B9F0-83BBB561D270}" xr6:coauthVersionLast="47" xr6:coauthVersionMax="47" xr10:uidLastSave="{00000000-0000-0000-0000-000000000000}"/>
  <bookViews>
    <workbookView xWindow="1480" yWindow="880" windowWidth="26380" windowHeight="16500" xr2:uid="{75E429BC-C2FA-4C1B-B988-F11BBA0A937C}"/>
  </bookViews>
  <sheets>
    <sheet name="End poi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D31" i="1"/>
  <c r="E31" i="1"/>
  <c r="F31" i="1"/>
  <c r="M31" i="1" s="1"/>
  <c r="G31" i="1"/>
  <c r="H31" i="1"/>
  <c r="I31" i="1"/>
  <c r="J31" i="1"/>
  <c r="K31" i="1"/>
  <c r="L31" i="1"/>
  <c r="B31" i="1"/>
  <c r="C28" i="1"/>
  <c r="D28" i="1"/>
  <c r="E28" i="1"/>
  <c r="F28" i="1"/>
  <c r="G28" i="1"/>
  <c r="H28" i="1"/>
  <c r="I28" i="1"/>
  <c r="J28" i="1"/>
  <c r="K28" i="1"/>
  <c r="L28" i="1"/>
  <c r="B28" i="1"/>
  <c r="C24" i="1"/>
  <c r="D24" i="1"/>
  <c r="E24" i="1"/>
  <c r="F24" i="1"/>
  <c r="G24" i="1"/>
  <c r="H24" i="1"/>
  <c r="I24" i="1"/>
  <c r="J24" i="1"/>
  <c r="K24" i="1"/>
  <c r="L24" i="1"/>
  <c r="C23" i="1"/>
  <c r="D23" i="1"/>
  <c r="E23" i="1"/>
  <c r="F23" i="1"/>
  <c r="G23" i="1"/>
  <c r="H23" i="1"/>
  <c r="I23" i="1"/>
  <c r="J23" i="1"/>
  <c r="K23" i="1"/>
  <c r="L23" i="1"/>
  <c r="B24" i="1"/>
  <c r="B23" i="1"/>
</calcChain>
</file>

<file path=xl/sharedStrings.xml><?xml version="1.0" encoding="utf-8"?>
<sst xmlns="http://schemas.openxmlformats.org/spreadsheetml/2006/main" count="17" uniqueCount="17">
  <si>
    <t>User: USER</t>
  </si>
  <si>
    <t>Path: C:\Program Files (x86)\BMG\Omega\User\Data\</t>
  </si>
  <si>
    <t>Test ID: 1335</t>
  </si>
  <si>
    <t>Test Name: GFP_Standard_TL</t>
  </si>
  <si>
    <t>Date: 05/12/2025</t>
  </si>
  <si>
    <t>Time: 11:36:23</t>
  </si>
  <si>
    <t>Fluorescence (FI)</t>
  </si>
  <si>
    <t>Blank corrected based on Raw Data (485/520)</t>
  </si>
  <si>
    <t>A</t>
  </si>
  <si>
    <t>B</t>
  </si>
  <si>
    <t>C</t>
  </si>
  <si>
    <t>D</t>
  </si>
  <si>
    <t>E</t>
  </si>
  <si>
    <t>F</t>
  </si>
  <si>
    <t>G</t>
  </si>
  <si>
    <t>H</t>
  </si>
  <si>
    <t>Average of all blanks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</si>
</sst>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4" xfId="0" applyBorder="1"/>
    <xf numFmtId="0" fontId="1" fillId="0" borderId="10" xfId="0" applyFont="1" applyBorder="1"/>
    <xf numFmtId="0" fontId="0" fillId="0" borderId="11" xfId="0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206441102537458E-2"/>
                  <c:y val="0.3441149549447113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'End point'!$B$25:$L$25</c:f>
              <c:numCache>
                <c:formatCode>General</c:formatCode>
                <c:ptCount val="11"/>
                <c:pt idx="0">
                  <c:v>1</c:v>
                </c:pt>
                <c:pt idx="1">
                  <c:v>0.69897000399999998</c:v>
                </c:pt>
                <c:pt idx="2">
                  <c:v>0.39794000899999998</c:v>
                </c:pt>
                <c:pt idx="3">
                  <c:v>9.6910013000000003E-2</c:v>
                </c:pt>
                <c:pt idx="4">
                  <c:v>-0.204119983</c:v>
                </c:pt>
                <c:pt idx="5">
                  <c:v>-0.50514997800000006</c:v>
                </c:pt>
                <c:pt idx="6">
                  <c:v>-0.80617997399999997</c:v>
                </c:pt>
                <c:pt idx="7">
                  <c:v>-1.10720997</c:v>
                </c:pt>
                <c:pt idx="8">
                  <c:v>-1.4082399649999999</c:v>
                </c:pt>
                <c:pt idx="9">
                  <c:v>-1.7092699609999999</c:v>
                </c:pt>
                <c:pt idx="10">
                  <c:v>-2.010299957</c:v>
                </c:pt>
              </c:numCache>
            </c:numRef>
          </c:xVal>
          <c:yVal>
            <c:numRef>
              <c:f>'End point'!$B$24:$L$24</c:f>
              <c:numCache>
                <c:formatCode>General</c:formatCode>
                <c:ptCount val="11"/>
                <c:pt idx="0">
                  <c:v>4.8945977918433181</c:v>
                </c:pt>
                <c:pt idx="1">
                  <c:v>4.4847712556842447</c:v>
                </c:pt>
                <c:pt idx="2">
                  <c:v>4.3201229083865451</c:v>
                </c:pt>
                <c:pt idx="3">
                  <c:v>4.0747935920600371</c:v>
                </c:pt>
                <c:pt idx="4">
                  <c:v>3.9679397408759831</c:v>
                </c:pt>
                <c:pt idx="5">
                  <c:v>3.8464453629314881</c:v>
                </c:pt>
                <c:pt idx="6">
                  <c:v>3.6471750654546264</c:v>
                </c:pt>
                <c:pt idx="7">
                  <c:v>3.464806136122863</c:v>
                </c:pt>
                <c:pt idx="8">
                  <c:v>3.2584277461467392</c:v>
                </c:pt>
                <c:pt idx="9">
                  <c:v>3.0962145853464054</c:v>
                </c:pt>
                <c:pt idx="10">
                  <c:v>2.9726077749882642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05-B64F-A1EA-99F475108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723904"/>
        <c:axId val="2068611168"/>
      </c:scatterChart>
      <c:valAx>
        <c:axId val="524723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611168"/>
        <c:crosses val="autoZero"/>
        <c:crossBetween val="midCat"/>
      </c:valAx>
      <c:valAx>
        <c:axId val="206861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4723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695100612423444E-2"/>
                  <c:y val="0.3565963108778069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'End point'!$B$25:$L$25</c:f>
              <c:numCache>
                <c:formatCode>General</c:formatCode>
                <c:ptCount val="11"/>
                <c:pt idx="0">
                  <c:v>1</c:v>
                </c:pt>
                <c:pt idx="1">
                  <c:v>0.69897000399999998</c:v>
                </c:pt>
                <c:pt idx="2">
                  <c:v>0.39794000899999998</c:v>
                </c:pt>
                <c:pt idx="3">
                  <c:v>9.6910013000000003E-2</c:v>
                </c:pt>
                <c:pt idx="4">
                  <c:v>-0.204119983</c:v>
                </c:pt>
                <c:pt idx="5">
                  <c:v>-0.50514997800000006</c:v>
                </c:pt>
                <c:pt idx="6">
                  <c:v>-0.80617997399999997</c:v>
                </c:pt>
                <c:pt idx="7">
                  <c:v>-1.10720997</c:v>
                </c:pt>
                <c:pt idx="8">
                  <c:v>-1.4082399649999999</c:v>
                </c:pt>
                <c:pt idx="9">
                  <c:v>-1.7092699609999999</c:v>
                </c:pt>
                <c:pt idx="10">
                  <c:v>-2.010299957</c:v>
                </c:pt>
              </c:numCache>
            </c:numRef>
          </c:xVal>
          <c:yVal>
            <c:numRef>
              <c:f>'End point'!$B$28:$L$28</c:f>
              <c:numCache>
                <c:formatCode>General</c:formatCode>
                <c:ptCount val="11"/>
                <c:pt idx="0">
                  <c:v>4.8873992545304938</c:v>
                </c:pt>
                <c:pt idx="1">
                  <c:v>4.4914632508298871</c:v>
                </c:pt>
                <c:pt idx="2">
                  <c:v>4.3849847701232259</c:v>
                </c:pt>
                <c:pt idx="3">
                  <c:v>3.9023429011401962</c:v>
                </c:pt>
                <c:pt idx="4">
                  <c:v>3.8078900302925467</c:v>
                </c:pt>
                <c:pt idx="5">
                  <c:v>3.6108995977087739</c:v>
                </c:pt>
                <c:pt idx="6">
                  <c:v>3.5113819626373592</c:v>
                </c:pt>
                <c:pt idx="7">
                  <c:v>3.5348190485475546</c:v>
                </c:pt>
                <c:pt idx="8">
                  <c:v>3.3869000790623756</c:v>
                </c:pt>
                <c:pt idx="9">
                  <c:v>3.0749078229667961</c:v>
                </c:pt>
                <c:pt idx="10">
                  <c:v>2.9970585737274003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61-BE40-A76E-F007727BB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3270047"/>
        <c:axId val="1563325231"/>
      </c:scatterChart>
      <c:valAx>
        <c:axId val="156327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3325231"/>
        <c:crosses val="autoZero"/>
        <c:crossBetween val="midCat"/>
      </c:valAx>
      <c:valAx>
        <c:axId val="156332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327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565150</xdr:colOff>
      <xdr:row>17</xdr:row>
      <xdr:rowOff>12700</xdr:rowOff>
    </xdr:from>
    <xdr:to>
      <xdr:col>19</xdr:col>
      <xdr:colOff>190500</xdr:colOff>
      <xdr:row>35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500B92-4C71-6A07-8CD3-A4A5D42FE5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482600</xdr:colOff>
      <xdr:row>36</xdr:row>
      <xdr:rowOff>127000</xdr:rowOff>
    </xdr:from>
    <xdr:to>
      <xdr:col>17</xdr:col>
      <xdr:colOff>317500</xdr:colOff>
      <xdr:row>51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8DA7CA-8DBD-12BC-76C4-432385570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BF424-4EA0-4546-A448-126221F3F865}">
  <dimension ref="A3:O31"/>
  <sheetViews>
    <sheetView tabSelected="1" topLeftCell="A12" zoomScale="137" workbookViewId="0">
      <selection activeCell="B24" sqref="B24:L25"/>
    </sheetView>
  </sheetViews>
  <sheetFormatPr baseColWidth="10" defaultColWidth="8.83203125" defaultRowHeight="15" x14ac:dyDescent="0.2"/>
  <cols>
    <col min="1" max="1" width="4.33203125" customWidth="1"/>
    <col min="15" max="15" width="35.6640625" customWidth="1"/>
  </cols>
  <sheetData>
    <row r="3" spans="1:15" x14ac:dyDescent="0.2">
      <c r="A3" t="s">
        <v>0</v>
      </c>
    </row>
    <row r="4" spans="1:15" x14ac:dyDescent="0.2">
      <c r="A4" t="s">
        <v>1</v>
      </c>
    </row>
    <row r="5" spans="1:15" x14ac:dyDescent="0.2">
      <c r="A5" t="s">
        <v>2</v>
      </c>
    </row>
    <row r="6" spans="1:15" x14ac:dyDescent="0.2">
      <c r="A6" t="s">
        <v>3</v>
      </c>
    </row>
    <row r="7" spans="1:15" x14ac:dyDescent="0.2">
      <c r="A7" t="s">
        <v>4</v>
      </c>
    </row>
    <row r="8" spans="1:15" x14ac:dyDescent="0.2">
      <c r="A8" t="s">
        <v>5</v>
      </c>
    </row>
    <row r="9" spans="1:15" x14ac:dyDescent="0.2">
      <c r="A9" t="s">
        <v>6</v>
      </c>
    </row>
    <row r="13" spans="1:15" x14ac:dyDescent="0.2">
      <c r="B13" t="s">
        <v>7</v>
      </c>
      <c r="O13" s="11"/>
    </row>
    <row r="14" spans="1:15" x14ac:dyDescent="0.2">
      <c r="B14" s="1">
        <v>1</v>
      </c>
      <c r="C14" s="1">
        <v>2</v>
      </c>
      <c r="D14" s="1">
        <v>3</v>
      </c>
      <c r="E14" s="1">
        <v>4</v>
      </c>
      <c r="F14" s="1">
        <v>5</v>
      </c>
      <c r="G14" s="1">
        <v>6</v>
      </c>
      <c r="H14" s="1">
        <v>7</v>
      </c>
      <c r="I14" s="1">
        <v>8</v>
      </c>
      <c r="J14" s="1">
        <v>9</v>
      </c>
      <c r="K14" s="1">
        <v>10</v>
      </c>
      <c r="L14" s="1">
        <v>11</v>
      </c>
      <c r="M14" s="1">
        <v>12</v>
      </c>
      <c r="O14" s="12" t="s">
        <v>16</v>
      </c>
    </row>
    <row r="15" spans="1:15" x14ac:dyDescent="0.2">
      <c r="A15" s="1" t="s">
        <v>8</v>
      </c>
      <c r="B15" s="2">
        <v>79388.25</v>
      </c>
      <c r="C15" s="3">
        <v>32118.25</v>
      </c>
      <c r="D15" s="3">
        <v>21181.25</v>
      </c>
      <c r="E15" s="3">
        <v>11011.25</v>
      </c>
      <c r="F15" s="3">
        <v>8318.25</v>
      </c>
      <c r="G15" s="3">
        <v>5907.25</v>
      </c>
      <c r="H15" s="3">
        <v>3910.25</v>
      </c>
      <c r="I15" s="3">
        <v>2192.25</v>
      </c>
      <c r="J15" s="3">
        <v>1674.25</v>
      </c>
      <c r="K15" s="3">
        <v>1046.25</v>
      </c>
      <c r="L15" s="3">
        <v>1130.25</v>
      </c>
      <c r="M15" s="4"/>
      <c r="O15" s="13"/>
    </row>
    <row r="16" spans="1:15" x14ac:dyDescent="0.2">
      <c r="A16" s="1" t="s">
        <v>9</v>
      </c>
      <c r="B16" s="5">
        <v>78973.25</v>
      </c>
      <c r="C16" s="6">
        <v>31367.25</v>
      </c>
      <c r="D16" s="6">
        <v>23025.25</v>
      </c>
      <c r="E16" s="6">
        <v>14943.25</v>
      </c>
      <c r="F16" s="6">
        <v>10214.25</v>
      </c>
      <c r="G16" s="6">
        <v>6959.25</v>
      </c>
      <c r="H16" s="6">
        <v>5429.25</v>
      </c>
      <c r="I16" s="6">
        <v>2317.25</v>
      </c>
      <c r="J16" s="6">
        <v>1560.25</v>
      </c>
      <c r="K16" s="6">
        <v>1200.25</v>
      </c>
      <c r="L16" s="6">
        <v>940.25</v>
      </c>
      <c r="M16" s="7"/>
    </row>
    <row r="17" spans="1:13" x14ac:dyDescent="0.2">
      <c r="A17" s="1" t="s">
        <v>10</v>
      </c>
      <c r="B17" s="5">
        <v>78909.25</v>
      </c>
      <c r="C17" s="6">
        <v>31710.25</v>
      </c>
      <c r="D17" s="6">
        <v>21168.25</v>
      </c>
      <c r="E17" s="6">
        <v>13658.25</v>
      </c>
      <c r="F17" s="6">
        <v>9446.25</v>
      </c>
      <c r="G17" s="6">
        <v>6819.25</v>
      </c>
      <c r="H17" s="6">
        <v>4988.25</v>
      </c>
      <c r="I17" s="6">
        <v>3522.25</v>
      </c>
      <c r="J17" s="6">
        <v>2370.25</v>
      </c>
      <c r="K17" s="6">
        <v>1520.25</v>
      </c>
      <c r="L17" s="6">
        <v>1243.25</v>
      </c>
      <c r="M17" s="7"/>
    </row>
    <row r="18" spans="1:13" x14ac:dyDescent="0.2">
      <c r="A18" s="1" t="s">
        <v>11</v>
      </c>
      <c r="B18" s="5">
        <v>78588.25</v>
      </c>
      <c r="C18" s="6">
        <v>29914.25</v>
      </c>
      <c r="D18" s="6">
        <v>19550.25</v>
      </c>
      <c r="E18" s="6">
        <v>11843.25</v>
      </c>
      <c r="F18" s="6">
        <v>9288.25</v>
      </c>
      <c r="G18" s="6">
        <v>9461.25</v>
      </c>
      <c r="H18" s="6">
        <v>5724.25</v>
      </c>
      <c r="I18" s="6">
        <v>3960.25</v>
      </c>
      <c r="J18" s="6">
        <v>854.25</v>
      </c>
      <c r="K18" s="6">
        <v>756.25</v>
      </c>
      <c r="L18" s="6">
        <v>630.25</v>
      </c>
      <c r="M18" s="7"/>
    </row>
    <row r="19" spans="1:13" x14ac:dyDescent="0.2">
      <c r="A19" s="1" t="s">
        <v>12</v>
      </c>
      <c r="B19" s="5">
        <v>78849.25</v>
      </c>
      <c r="C19" s="6">
        <v>30433.25</v>
      </c>
      <c r="D19" s="6">
        <v>19688.25</v>
      </c>
      <c r="E19" s="6">
        <v>11895.25</v>
      </c>
      <c r="F19" s="6">
        <v>9033.25</v>
      </c>
      <c r="G19" s="6">
        <v>9626.25</v>
      </c>
      <c r="H19" s="6">
        <v>5706.25</v>
      </c>
      <c r="I19" s="6">
        <v>3265.25</v>
      </c>
      <c r="J19" s="6">
        <v>2017.25</v>
      </c>
      <c r="K19" s="6">
        <v>423.25</v>
      </c>
      <c r="L19" s="6">
        <v>351.25</v>
      </c>
      <c r="M19" s="7"/>
    </row>
    <row r="20" spans="1:13" x14ac:dyDescent="0.2">
      <c r="A20" s="1" t="s">
        <v>13</v>
      </c>
      <c r="B20" s="5">
        <v>78242.25</v>
      </c>
      <c r="C20" s="6">
        <v>28460.25</v>
      </c>
      <c r="D20" s="6">
        <v>17922.25</v>
      </c>
      <c r="E20" s="6">
        <v>12620.25</v>
      </c>
      <c r="F20" s="6">
        <v>14157.25</v>
      </c>
      <c r="G20" s="6">
        <v>7472.25</v>
      </c>
      <c r="H20" s="6">
        <v>2652.25</v>
      </c>
      <c r="I20" s="6">
        <v>1818.25</v>
      </c>
      <c r="J20" s="6">
        <v>1518.25</v>
      </c>
      <c r="K20" s="6">
        <v>2083.25</v>
      </c>
      <c r="L20" s="6">
        <v>852.25</v>
      </c>
      <c r="M20" s="7"/>
    </row>
    <row r="21" spans="1:13" x14ac:dyDescent="0.2">
      <c r="A21" s="1" t="s">
        <v>14</v>
      </c>
      <c r="B21" s="5">
        <v>77495.25</v>
      </c>
      <c r="C21" s="6">
        <v>29254.25</v>
      </c>
      <c r="D21" s="6">
        <v>20390.25</v>
      </c>
      <c r="E21" s="6">
        <v>11077.25</v>
      </c>
      <c r="F21" s="6">
        <v>7424.25</v>
      </c>
      <c r="G21" s="6">
        <v>5846.25</v>
      </c>
      <c r="H21" s="6">
        <v>3846.25</v>
      </c>
      <c r="I21" s="6">
        <v>2827.25</v>
      </c>
      <c r="J21" s="6">
        <v>2073.25</v>
      </c>
      <c r="K21" s="6">
        <v>1766.25</v>
      </c>
      <c r="L21" s="6">
        <v>1370.25</v>
      </c>
      <c r="M21" s="7"/>
    </row>
    <row r="22" spans="1:13" x14ac:dyDescent="0.2">
      <c r="A22" s="1" t="s">
        <v>15</v>
      </c>
      <c r="B22" s="8">
        <v>77161.25</v>
      </c>
      <c r="C22" s="9">
        <v>31007.25</v>
      </c>
      <c r="D22" s="9">
        <v>24265.25</v>
      </c>
      <c r="E22" s="9">
        <v>7986.25</v>
      </c>
      <c r="F22" s="9">
        <v>6425.25</v>
      </c>
      <c r="G22" s="9">
        <v>4082.25</v>
      </c>
      <c r="H22" s="9">
        <v>3246.25</v>
      </c>
      <c r="I22" s="9">
        <v>3426.25</v>
      </c>
      <c r="J22" s="9">
        <v>2437.25</v>
      </c>
      <c r="K22" s="9">
        <v>1188.25</v>
      </c>
      <c r="L22" s="9">
        <v>993.25</v>
      </c>
      <c r="M22" s="10"/>
    </row>
    <row r="23" spans="1:13" x14ac:dyDescent="0.2">
      <c r="B23">
        <f>AVERAGE(B15:B22)</f>
        <v>78450.875</v>
      </c>
      <c r="C23">
        <f t="shared" ref="C23:L23" si="0">AVERAGE(C15:C22)</f>
        <v>30533.125</v>
      </c>
      <c r="D23">
        <f t="shared" si="0"/>
        <v>20898.875</v>
      </c>
      <c r="E23">
        <f t="shared" si="0"/>
        <v>11879.375</v>
      </c>
      <c r="F23">
        <f t="shared" si="0"/>
        <v>9288.375</v>
      </c>
      <c r="G23">
        <f t="shared" si="0"/>
        <v>7021.75</v>
      </c>
      <c r="H23">
        <f t="shared" si="0"/>
        <v>4437.875</v>
      </c>
      <c r="I23">
        <f t="shared" si="0"/>
        <v>2916.125</v>
      </c>
      <c r="J23">
        <f t="shared" si="0"/>
        <v>1813.125</v>
      </c>
      <c r="K23">
        <f t="shared" si="0"/>
        <v>1248</v>
      </c>
      <c r="L23">
        <f t="shared" si="0"/>
        <v>938.875</v>
      </c>
    </row>
    <row r="24" spans="1:13" x14ac:dyDescent="0.2">
      <c r="B24">
        <f>LOG10(B23)</f>
        <v>4.8945977918433181</v>
      </c>
      <c r="C24">
        <f t="shared" ref="C24:L24" si="1">LOG10(C23)</f>
        <v>4.4847712556842447</v>
      </c>
      <c r="D24">
        <f t="shared" si="1"/>
        <v>4.3201229083865451</v>
      </c>
      <c r="E24">
        <f t="shared" si="1"/>
        <v>4.0747935920600371</v>
      </c>
      <c r="F24">
        <f t="shared" si="1"/>
        <v>3.9679397408759831</v>
      </c>
      <c r="G24">
        <f t="shared" si="1"/>
        <v>3.8464453629314881</v>
      </c>
      <c r="H24">
        <f t="shared" si="1"/>
        <v>3.6471750654546264</v>
      </c>
      <c r="I24">
        <f t="shared" si="1"/>
        <v>3.464806136122863</v>
      </c>
      <c r="J24">
        <f t="shared" si="1"/>
        <v>3.2584277461467392</v>
      </c>
      <c r="K24">
        <f t="shared" si="1"/>
        <v>3.0962145853464054</v>
      </c>
      <c r="L24">
        <f t="shared" si="1"/>
        <v>2.9726077749882642</v>
      </c>
    </row>
    <row r="25" spans="1:13" x14ac:dyDescent="0.2">
      <c r="B25" s="14">
        <v>1</v>
      </c>
      <c r="C25" s="14">
        <v>0.69897000399999998</v>
      </c>
      <c r="D25" s="14">
        <v>0.39794000899999998</v>
      </c>
      <c r="E25" s="14">
        <v>9.6910013000000003E-2</v>
      </c>
      <c r="F25" s="14">
        <v>-0.204119983</v>
      </c>
      <c r="G25" s="14">
        <v>-0.50514997800000006</v>
      </c>
      <c r="H25" s="14">
        <v>-0.80617997399999997</v>
      </c>
      <c r="I25" s="14">
        <v>-1.10720997</v>
      </c>
      <c r="J25" s="14">
        <v>-1.4082399649999999</v>
      </c>
      <c r="K25" s="14">
        <v>-1.7092699609999999</v>
      </c>
      <c r="L25" s="14">
        <v>-2.010299957</v>
      </c>
    </row>
    <row r="28" spans="1:13" x14ac:dyDescent="0.2">
      <c r="B28">
        <f>LOG10(B22)</f>
        <v>4.8873992545304938</v>
      </c>
      <c r="C28">
        <f t="shared" ref="C28:L28" si="2">LOG10(C22)</f>
        <v>4.4914632508298871</v>
      </c>
      <c r="D28">
        <f t="shared" si="2"/>
        <v>4.3849847701232259</v>
      </c>
      <c r="E28">
        <f t="shared" si="2"/>
        <v>3.9023429011401962</v>
      </c>
      <c r="F28">
        <f t="shared" si="2"/>
        <v>3.8078900302925467</v>
      </c>
      <c r="G28">
        <f t="shared" si="2"/>
        <v>3.6108995977087739</v>
      </c>
      <c r="H28">
        <f t="shared" si="2"/>
        <v>3.5113819626373592</v>
      </c>
      <c r="I28">
        <f t="shared" si="2"/>
        <v>3.5348190485475546</v>
      </c>
      <c r="J28">
        <f t="shared" si="2"/>
        <v>3.3869000790623756</v>
      </c>
      <c r="K28">
        <f t="shared" si="2"/>
        <v>3.0749078229667961</v>
      </c>
      <c r="L28">
        <f t="shared" si="2"/>
        <v>2.9970585737274003</v>
      </c>
    </row>
    <row r="31" spans="1:13" x14ac:dyDescent="0.2">
      <c r="B31">
        <f>_xlfn.STDEV.P(B15:B22)/B23</f>
        <v>9.1908822611678782E-3</v>
      </c>
      <c r="C31">
        <f t="shared" ref="C31:L31" si="3">_xlfn.STDEV.P(C15:C22)/C23</f>
        <v>3.865508030931087E-2</v>
      </c>
      <c r="D31">
        <f t="shared" si="3"/>
        <v>9.0170613298079391E-2</v>
      </c>
      <c r="E31">
        <f t="shared" si="3"/>
        <v>0.16207465853448857</v>
      </c>
      <c r="F31">
        <f t="shared" si="3"/>
        <v>0.23236796991373748</v>
      </c>
      <c r="G31">
        <f t="shared" si="3"/>
        <v>0.24793553461672813</v>
      </c>
      <c r="H31">
        <f t="shared" si="3"/>
        <v>0.2492211756875822</v>
      </c>
      <c r="I31">
        <f t="shared" si="3"/>
        <v>0.24052097742241607</v>
      </c>
      <c r="J31">
        <f t="shared" si="3"/>
        <v>0.26870494764907454</v>
      </c>
      <c r="K31">
        <f t="shared" si="3"/>
        <v>0.4015344105761115</v>
      </c>
      <c r="L31">
        <f t="shared" si="3"/>
        <v>0.32965971380122444</v>
      </c>
      <c r="M31">
        <f>AVERAGE(B31:L31)</f>
        <v>0.20636690582453826</v>
      </c>
    </row>
  </sheetData>
  <conditionalFormatting sqref="B15:L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End 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Porteus, Wilson S</dc:creator>
  <cp:lastModifiedBy>Wilson Porteus</cp:lastModifiedBy>
  <dcterms:created xsi:type="dcterms:W3CDTF">2025-12-05T11:37:31Z</dcterms:created>
  <dcterms:modified xsi:type="dcterms:W3CDTF">2025-12-05T16:33:56Z</dcterms:modified>
</cp:coreProperties>
</file>