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sonporteus/Documents/GitHub/ssb_s5/Main Assesment/Data/"/>
    </mc:Choice>
  </mc:AlternateContent>
  <xr:revisionPtr revIDLastSave="0" documentId="13_ncr:1_{C6EE88C0-3AB4-D64C-A13D-DEFA48BB1F5B}" xr6:coauthVersionLast="47" xr6:coauthVersionMax="47" xr10:uidLastSave="{00000000-0000-0000-0000-000000000000}"/>
  <bookViews>
    <workbookView xWindow="360" yWindow="760" windowWidth="26540" windowHeight="17380" xr2:uid="{4B635305-3520-453A-9545-3133D53FED58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K27" i="1"/>
  <c r="J27" i="1"/>
  <c r="I27" i="1"/>
  <c r="H27" i="1"/>
  <c r="G27" i="1"/>
  <c r="F27" i="1"/>
  <c r="E27" i="1"/>
  <c r="D27" i="1"/>
  <c r="C27" i="1"/>
  <c r="B27" i="1"/>
  <c r="C23" i="1"/>
  <c r="D23" i="1"/>
  <c r="E23" i="1"/>
  <c r="F23" i="1"/>
  <c r="G23" i="1"/>
  <c r="H23" i="1"/>
  <c r="I23" i="1"/>
  <c r="J23" i="1"/>
  <c r="K23" i="1"/>
  <c r="L23" i="1"/>
  <c r="B23" i="1"/>
</calcChain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<sst xmlns="http://schemas.openxmlformats.org/spreadsheetml/2006/main" count="17" uniqueCount="17">
  <si>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</si>
  <si>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</si>
  <si>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1350</t>
  </si>
  <si>
    <t>Test Name: GFP_Standard_TL</t>
  </si>
  <si>
    <t>Date: 05/12/2025</t>
  </si>
  <si>
    <t>Time: 15:39:00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</si>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</sst>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Optimized Parameters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923453783977873"/>
                  <c:y val="5.04221025262712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'End point'!$B$24:$L$24</c:f>
              <c:numCache>
                <c:formatCode>General</c:formatCode>
                <c:ptCount val="11"/>
                <c:pt idx="0">
                  <c:v>1</c:v>
                </c:pt>
                <c:pt idx="1">
                  <c:v>0.69897000399999998</c:v>
                </c:pt>
                <c:pt idx="2">
                  <c:v>0.39794000899999998</c:v>
                </c:pt>
                <c:pt idx="3">
                  <c:v>9.6910013000000003E-2</c:v>
                </c:pt>
                <c:pt idx="4">
                  <c:v>-0.204119983</c:v>
                </c:pt>
                <c:pt idx="5">
                  <c:v>-0.50514997800000006</c:v>
                </c:pt>
                <c:pt idx="6">
                  <c:v>-0.80617997399999997</c:v>
                </c:pt>
                <c:pt idx="7">
                  <c:v>-1.10720997</c:v>
                </c:pt>
                <c:pt idx="8">
                  <c:v>-1.4082399649999999</c:v>
                </c:pt>
                <c:pt idx="9">
                  <c:v>-1.7092699609999999</c:v>
                </c:pt>
                <c:pt idx="10">
                  <c:v>-2.010299957</c:v>
                </c:pt>
              </c:numCache>
            </c:numRef>
          </c:xVal>
          <c:yVal>
            <c:numRef>
              <c:f>'End point'!$B$23:$L$23</c:f>
              <c:numCache>
                <c:formatCode>General</c:formatCode>
                <c:ptCount val="11"/>
                <c:pt idx="0">
                  <c:v>4.8779793068008823</c:v>
                </c:pt>
                <c:pt idx="1">
                  <c:v>4.6143355379004856</c:v>
                </c:pt>
                <c:pt idx="2">
                  <c:v>4.3227334224498968</c:v>
                </c:pt>
                <c:pt idx="3">
                  <c:v>4.025024097034005</c:v>
                </c:pt>
                <c:pt idx="4">
                  <c:v>3.7229422608370752</c:v>
                </c:pt>
                <c:pt idx="5">
                  <c:v>3.4261247788137812</c:v>
                </c:pt>
                <c:pt idx="6">
                  <c:v>3.1183474094751462</c:v>
                </c:pt>
                <c:pt idx="7">
                  <c:v>2.8220863144271937</c:v>
                </c:pt>
                <c:pt idx="8">
                  <c:v>2.5271463664195668</c:v>
                </c:pt>
                <c:pt idx="9">
                  <c:v>2.225632297346483</c:v>
                </c:pt>
                <c:pt idx="10">
                  <c:v>1.9287797872885581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45-3042-9A7D-E49BCE26D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919392"/>
        <c:axId val="2078190016"/>
      </c:scatterChart>
      <c:valAx>
        <c:axId val="207791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190016"/>
        <c:crosses val="autoZero"/>
        <c:crossBetween val="midCat"/>
      </c:valAx>
      <c:valAx>
        <c:axId val="20781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91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286023</xdr:colOff>
      <xdr:row>27</xdr:row>
      <xdr:rowOff>124133</xdr:rowOff>
    </xdr:from>
    <xdr:to>
      <xdr:col>14</xdr:col>
      <xdr:colOff>2198601</xdr:colOff>
      <xdr:row>44</xdr:row>
      <xdr:rowOff>122902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DDAB16-3A63-38FD-7309-CF82A27C0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31B2-EC6E-4F35-ABE9-44E4172FF9E2}">
  <dimension ref="A3:O27"/>
  <sheetViews>
    <sheetView tabSelected="1" topLeftCell="A4" zoomScale="125" workbookViewId="0">
      <selection activeCell="B26" sqref="B26"/>
    </sheetView>
  </sheetViews>
  <sheetFormatPr baseColWidth="10" defaultColWidth="8.83203125" defaultRowHeight="15" x14ac:dyDescent="0.2"/>
  <cols>
    <col min="1" max="1" width="4.33203125" customWidth="1"/>
    <col min="15" max="15" width="35.6640625" customWidth="1"/>
  </cols>
  <sheetData>
    <row r="3" spans="1:15" x14ac:dyDescent="0.2">
      <c r="A3" t="s">
        <v>0</v>
      </c>
    </row>
    <row r="4" spans="1:15" x14ac:dyDescent="0.2">
      <c r="A4" t="s">
        <v>1</v>
      </c>
    </row>
    <row r="5" spans="1:15" x14ac:dyDescent="0.2">
      <c r="A5" t="s">
        <v>2</v>
      </c>
    </row>
    <row r="6" spans="1:15" x14ac:dyDescent="0.2">
      <c r="A6" t="s">
        <v>3</v>
      </c>
    </row>
    <row r="7" spans="1:15" x14ac:dyDescent="0.2">
      <c r="A7" t="s">
        <v>4</v>
      </c>
    </row>
    <row r="8" spans="1:15" x14ac:dyDescent="0.2">
      <c r="A8" t="s">
        <v>5</v>
      </c>
    </row>
    <row r="9" spans="1:15" x14ac:dyDescent="0.2">
      <c r="A9" t="s">
        <v>6</v>
      </c>
    </row>
    <row r="13" spans="1:15" x14ac:dyDescent="0.2">
      <c r="B13" t="s">
        <v>7</v>
      </c>
      <c r="O13" s="11"/>
    </row>
    <row r="14" spans="1:15" x14ac:dyDescent="0.2"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L14" s="1">
        <v>11</v>
      </c>
      <c r="M14" s="1">
        <v>12</v>
      </c>
      <c r="O14" s="12" t="s">
        <v>16</v>
      </c>
    </row>
    <row r="15" spans="1:15" x14ac:dyDescent="0.2">
      <c r="A15" s="1" t="s">
        <v>8</v>
      </c>
      <c r="B15" s="2">
        <v>77983.375</v>
      </c>
      <c r="C15" s="3">
        <v>41596.375</v>
      </c>
      <c r="D15" s="3">
        <v>21559.375</v>
      </c>
      <c r="E15" s="3">
        <v>11005.375</v>
      </c>
      <c r="F15" s="3">
        <v>5550.375</v>
      </c>
      <c r="G15" s="3">
        <v>2837.375</v>
      </c>
      <c r="H15" s="3">
        <v>1439.375</v>
      </c>
      <c r="I15" s="3">
        <v>732.375</v>
      </c>
      <c r="J15" s="3">
        <v>375.375</v>
      </c>
      <c r="K15" s="3">
        <v>193.375</v>
      </c>
      <c r="L15" s="3">
        <v>98.375</v>
      </c>
      <c r="M15" s="4"/>
      <c r="O15" s="13"/>
    </row>
    <row r="16" spans="1:15" x14ac:dyDescent="0.2">
      <c r="A16" s="1" t="s">
        <v>9</v>
      </c>
      <c r="B16" s="5">
        <v>76189.375</v>
      </c>
      <c r="C16" s="6">
        <v>41777.375</v>
      </c>
      <c r="D16" s="6">
        <v>21083.375</v>
      </c>
      <c r="E16" s="6">
        <v>10721.375</v>
      </c>
      <c r="F16" s="6">
        <v>5311.375</v>
      </c>
      <c r="G16" s="6">
        <v>2706.375</v>
      </c>
      <c r="H16" s="6">
        <v>1334.375</v>
      </c>
      <c r="I16" s="6">
        <v>677.375</v>
      </c>
      <c r="J16" s="6">
        <v>345.375</v>
      </c>
      <c r="K16" s="6">
        <v>173.375</v>
      </c>
      <c r="L16" s="6">
        <v>90.375</v>
      </c>
      <c r="M16" s="7"/>
    </row>
    <row r="17" spans="1:13" x14ac:dyDescent="0.2">
      <c r="A17" s="1" t="s">
        <v>10</v>
      </c>
      <c r="B17" s="5">
        <v>76040.375</v>
      </c>
      <c r="C17" s="6">
        <v>41710.375</v>
      </c>
      <c r="D17" s="6">
        <v>20955.375</v>
      </c>
      <c r="E17" s="6">
        <v>10646.375</v>
      </c>
      <c r="F17" s="6">
        <v>5289.375</v>
      </c>
      <c r="G17" s="6">
        <v>2655.375</v>
      </c>
      <c r="H17" s="6">
        <v>1269.375</v>
      </c>
      <c r="I17" s="6">
        <v>660.375</v>
      </c>
      <c r="J17" s="6">
        <v>328.375</v>
      </c>
      <c r="K17" s="6">
        <v>164.375</v>
      </c>
      <c r="L17" s="6">
        <v>80.375</v>
      </c>
      <c r="M17" s="7"/>
    </row>
    <row r="18" spans="1:13" x14ac:dyDescent="0.2">
      <c r="A18" s="1" t="s">
        <v>11</v>
      </c>
      <c r="B18" s="5">
        <v>75967.375</v>
      </c>
      <c r="C18" s="6">
        <v>41043.375</v>
      </c>
      <c r="D18" s="6">
        <v>20901.375</v>
      </c>
      <c r="E18" s="6">
        <v>10567.375</v>
      </c>
      <c r="F18" s="6">
        <v>5194.375</v>
      </c>
      <c r="G18" s="6">
        <v>2721.375</v>
      </c>
      <c r="H18" s="6">
        <v>1310.375</v>
      </c>
      <c r="I18" s="6">
        <v>676.375</v>
      </c>
      <c r="J18" s="6">
        <v>347.375</v>
      </c>
      <c r="K18" s="6">
        <v>174.375</v>
      </c>
      <c r="L18" s="6">
        <v>91.375</v>
      </c>
      <c r="M18" s="7"/>
    </row>
    <row r="19" spans="1:13" x14ac:dyDescent="0.2">
      <c r="A19" s="1" t="s">
        <v>12</v>
      </c>
      <c r="B19" s="5">
        <v>75813.375</v>
      </c>
      <c r="C19" s="6">
        <v>41247.375</v>
      </c>
      <c r="D19" s="6">
        <v>21061.375</v>
      </c>
      <c r="E19" s="6">
        <v>10386.375</v>
      </c>
      <c r="F19" s="6">
        <v>5338.375</v>
      </c>
      <c r="G19" s="6">
        <v>2636.375</v>
      </c>
      <c r="H19" s="6">
        <v>1304.375</v>
      </c>
      <c r="I19" s="6">
        <v>642.375</v>
      </c>
      <c r="J19" s="6">
        <v>324.375</v>
      </c>
      <c r="K19" s="6">
        <v>155.375</v>
      </c>
      <c r="L19" s="6">
        <v>79.375</v>
      </c>
      <c r="M19" s="7"/>
    </row>
    <row r="20" spans="1:13" x14ac:dyDescent="0.2">
      <c r="A20" s="1" t="s">
        <v>13</v>
      </c>
      <c r="B20" s="5">
        <v>74694.375</v>
      </c>
      <c r="C20" s="6">
        <v>40703.375</v>
      </c>
      <c r="D20" s="6">
        <v>20930.375</v>
      </c>
      <c r="E20" s="6">
        <v>10546.375</v>
      </c>
      <c r="F20" s="6">
        <v>5110.375</v>
      </c>
      <c r="G20" s="6">
        <v>2589.375</v>
      </c>
      <c r="H20" s="6">
        <v>1287.375</v>
      </c>
      <c r="I20" s="6">
        <v>620.375</v>
      </c>
      <c r="J20" s="6">
        <v>316.375</v>
      </c>
      <c r="K20" s="6">
        <v>156.375</v>
      </c>
      <c r="L20" s="6">
        <v>74.375</v>
      </c>
      <c r="M20" s="7"/>
    </row>
    <row r="21" spans="1:13" x14ac:dyDescent="0.2">
      <c r="A21" s="1" t="s">
        <v>14</v>
      </c>
      <c r="B21" s="5">
        <v>74213.375</v>
      </c>
      <c r="C21" s="6">
        <v>40415.375</v>
      </c>
      <c r="D21" s="6">
        <v>20940.375</v>
      </c>
      <c r="E21" s="6">
        <v>10475.375</v>
      </c>
      <c r="F21" s="6">
        <v>5358.375</v>
      </c>
      <c r="G21" s="6">
        <v>2634.375</v>
      </c>
      <c r="H21" s="6">
        <v>1291.375</v>
      </c>
      <c r="I21" s="6">
        <v>674.375</v>
      </c>
      <c r="J21" s="6">
        <v>341.375</v>
      </c>
      <c r="K21" s="6">
        <v>169.375</v>
      </c>
      <c r="L21" s="6">
        <v>84.375</v>
      </c>
      <c r="M21" s="7"/>
    </row>
    <row r="22" spans="1:13" x14ac:dyDescent="0.2">
      <c r="A22" s="1" t="s">
        <v>15</v>
      </c>
      <c r="B22" s="8">
        <v>73143.375</v>
      </c>
      <c r="C22" s="9">
        <v>40680.375</v>
      </c>
      <c r="D22" s="9">
        <v>20767.375</v>
      </c>
      <c r="E22" s="9">
        <v>10396.375</v>
      </c>
      <c r="F22" s="9">
        <v>5117.375</v>
      </c>
      <c r="G22" s="9">
        <v>2560.375</v>
      </c>
      <c r="H22" s="9">
        <v>1269.375</v>
      </c>
      <c r="I22" s="9">
        <v>627.375</v>
      </c>
      <c r="J22" s="9">
        <v>314.375</v>
      </c>
      <c r="K22" s="9">
        <v>158.375</v>
      </c>
      <c r="L22" s="9">
        <v>80.375</v>
      </c>
      <c r="M22" s="10"/>
    </row>
    <row r="23" spans="1:13" x14ac:dyDescent="0.2">
      <c r="B23">
        <f>LOG10(AVERAGE(B15:B22))</f>
        <v>4.8779793068008823</v>
      </c>
      <c r="C23">
        <f t="shared" ref="C23:L23" si="0">LOG10(AVERAGE(C15:C22))</f>
        <v>4.6143355379004856</v>
      </c>
      <c r="D23">
        <f t="shared" si="0"/>
        <v>4.3227334224498968</v>
      </c>
      <c r="E23">
        <f t="shared" si="0"/>
        <v>4.025024097034005</v>
      </c>
      <c r="F23">
        <f t="shared" si="0"/>
        <v>3.7229422608370752</v>
      </c>
      <c r="G23">
        <f t="shared" si="0"/>
        <v>3.4261247788137812</v>
      </c>
      <c r="H23">
        <f t="shared" si="0"/>
        <v>3.1183474094751462</v>
      </c>
      <c r="I23">
        <f t="shared" si="0"/>
        <v>2.8220863144271937</v>
      </c>
      <c r="J23">
        <f t="shared" si="0"/>
        <v>2.5271463664195668</v>
      </c>
      <c r="K23">
        <f t="shared" si="0"/>
        <v>2.225632297346483</v>
      </c>
      <c r="L23">
        <f t="shared" si="0"/>
        <v>1.9287797872885581</v>
      </c>
    </row>
    <row r="24" spans="1:13" x14ac:dyDescent="0.2">
      <c r="B24" s="14">
        <v>1</v>
      </c>
      <c r="C24" s="14">
        <v>0.69897000399999998</v>
      </c>
      <c r="D24" s="14">
        <v>0.39794000899999998</v>
      </c>
      <c r="E24" s="14">
        <v>9.6910013000000003E-2</v>
      </c>
      <c r="F24" s="14">
        <v>-0.204119983</v>
      </c>
      <c r="G24" s="14">
        <v>-0.50514997800000006</v>
      </c>
      <c r="H24" s="14">
        <v>-0.80617997399999997</v>
      </c>
      <c r="I24" s="14">
        <v>-1.10720997</v>
      </c>
      <c r="J24" s="14">
        <v>-1.4082399649999999</v>
      </c>
      <c r="K24" s="14">
        <v>-1.7092699609999999</v>
      </c>
      <c r="L24" s="14">
        <v>-2.010299957</v>
      </c>
    </row>
    <row r="27" spans="1:13" x14ac:dyDescent="0.2">
      <c r="B27">
        <f>AVERAGE(B19:B26)</f>
        <v>49645.062996551133</v>
      </c>
      <c r="C27">
        <f t="shared" ref="C27:L27" si="1">AVERAGE(C19:C26)</f>
        <v>27175.302217590317</v>
      </c>
      <c r="D27">
        <f t="shared" si="1"/>
        <v>13950.703445571909</v>
      </c>
      <c r="E27">
        <f t="shared" si="1"/>
        <v>6968.1036556850058</v>
      </c>
      <c r="F27">
        <f t="shared" si="1"/>
        <v>3488.0031370463062</v>
      </c>
      <c r="G27">
        <f t="shared" si="1"/>
        <v>1737.236829133469</v>
      </c>
      <c r="H27">
        <f t="shared" si="1"/>
        <v>859.13536123924587</v>
      </c>
      <c r="I27">
        <f t="shared" si="1"/>
        <v>427.70247939073784</v>
      </c>
      <c r="J27">
        <f t="shared" si="1"/>
        <v>216.26981773356997</v>
      </c>
      <c r="K27">
        <f t="shared" si="1"/>
        <v>106.66939372272441</v>
      </c>
      <c r="L27">
        <f t="shared" si="1"/>
        <v>53.069746638381424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Wilson Porteus</cp:lastModifiedBy>
  <dcterms:created xsi:type="dcterms:W3CDTF">2025-12-05T15:40:08Z</dcterms:created>
  <dcterms:modified xsi:type="dcterms:W3CDTF">2025-12-05T16:33:57Z</dcterms:modified>
</cp:coreProperties>
</file>