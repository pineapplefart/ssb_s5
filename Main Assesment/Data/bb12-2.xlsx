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porteus/Documents/GitHub/ssb_s5/Main Assesment/Data/"/>
    </mc:Choice>
  </mc:AlternateContent>
  <xr:revisionPtr revIDLastSave="0" documentId="13_ncr:1_{8696A573-F1D6-974A-B4FF-3EE8246856D8}" xr6:coauthVersionLast="47" xr6:coauthVersionMax="47" xr10:uidLastSave="{00000000-0000-0000-0000-000000000000}"/>
  <bookViews>
    <workbookView xWindow="360" yWindow="760" windowWidth="23420" windowHeight="15740" xr2:uid="{36496F31-BC4C-447C-9304-25EC87D2CD1A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K24" i="1"/>
  <c r="J24" i="1"/>
  <c r="I24" i="1"/>
  <c r="H24" i="1"/>
  <c r="G24" i="1"/>
  <c r="F24" i="1"/>
  <c r="E24" i="1"/>
  <c r="D24" i="1"/>
  <c r="C24" i="1"/>
  <c r="B24" i="1"/>
  <c r="C23" i="1"/>
  <c r="D23" i="1"/>
  <c r="E23" i="1"/>
  <c r="F23" i="1"/>
  <c r="G23" i="1"/>
  <c r="H23" i="1"/>
  <c r="I23" i="1"/>
  <c r="J23" i="1"/>
  <c r="K23" i="1"/>
  <c r="L23" i="1"/>
  <c r="B23" i="1"/>
</calcChain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<sst xmlns="http://schemas.openxmlformats.org/spreadsheetml/2006/main" count="17" uniqueCount="17">
  <si>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</si>
  <si>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</si>
  <si>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1356</t>
  </si>
  <si>
    <t>Test Name: GFP_Standard_TL</t>
  </si>
  <si>
    <t>Date: 05/12/2025</t>
  </si>
  <si>
    <t>Time: 16:18:00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</si>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</sst>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'End point'!$B$25:$L$25</c:f>
              <c:numCache>
                <c:formatCode>General</c:formatCode>
                <c:ptCount val="11"/>
                <c:pt idx="0">
                  <c:v>1</c:v>
                </c:pt>
                <c:pt idx="1">
                  <c:v>0.69897000399999998</c:v>
                </c:pt>
                <c:pt idx="2">
                  <c:v>0.39794000899999998</c:v>
                </c:pt>
                <c:pt idx="3">
                  <c:v>9.6910013000000003E-2</c:v>
                </c:pt>
                <c:pt idx="4">
                  <c:v>-0.204119983</c:v>
                </c:pt>
                <c:pt idx="5">
                  <c:v>-0.50514997800000006</c:v>
                </c:pt>
                <c:pt idx="6">
                  <c:v>-0.80617997399999997</c:v>
                </c:pt>
                <c:pt idx="7">
                  <c:v>-1.10720997</c:v>
                </c:pt>
                <c:pt idx="8">
                  <c:v>-1.4082399649999999</c:v>
                </c:pt>
                <c:pt idx="9">
                  <c:v>-1.7092699609999999</c:v>
                </c:pt>
                <c:pt idx="10">
                  <c:v>-2.010299957</c:v>
                </c:pt>
              </c:numCache>
            </c:numRef>
          </c:xVal>
          <c:yVal>
            <c:numRef>
              <c:f>'End point'!$B$23:$L$23</c:f>
              <c:numCache>
                <c:formatCode>General</c:formatCode>
                <c:ptCount val="11"/>
                <c:pt idx="0">
                  <c:v>4.8784959438697868</c:v>
                </c:pt>
                <c:pt idx="1">
                  <c:v>4.4407398945607852</c:v>
                </c:pt>
                <c:pt idx="2">
                  <c:v>4.2697113667912738</c:v>
                </c:pt>
                <c:pt idx="3">
                  <c:v>4.1193260109551231</c:v>
                </c:pt>
                <c:pt idx="4">
                  <c:v>3.928562265778115</c:v>
                </c:pt>
                <c:pt idx="5">
                  <c:v>3.8067902715840667</c:v>
                </c:pt>
                <c:pt idx="6">
                  <c:v>3.6563976948058214</c:v>
                </c:pt>
                <c:pt idx="7">
                  <c:v>3.4534330153498831</c:v>
                </c:pt>
                <c:pt idx="8">
                  <c:v>3.2825371486829558</c:v>
                </c:pt>
                <c:pt idx="9">
                  <c:v>3.2401746950192774</c:v>
                </c:pt>
                <c:pt idx="10">
                  <c:v>3.0783661795301831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C-0945-B366-8A313193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454207"/>
        <c:axId val="232910752"/>
      </c:scatterChart>
      <c:valAx>
        <c:axId val="152145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10752"/>
        <c:crosses val="autoZero"/>
        <c:crossBetween val="midCat"/>
      </c:valAx>
      <c:valAx>
        <c:axId val="2329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5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400050</xdr:colOff>
      <xdr:row>19</xdr:row>
      <xdr:rowOff>152400</xdr:rowOff>
    </xdr:from>
    <xdr:to>
      <xdr:col>17</xdr:col>
      <xdr:colOff>234950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ADD03-EC50-44F1-AC3D-8380816E5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D824-4259-4E59-BCC4-1AC40F44B8A7}">
  <dimension ref="A3:O25"/>
  <sheetViews>
    <sheetView tabSelected="1" topLeftCell="J18" zoomScale="165" workbookViewId="0">
      <selection activeCell="B23" activeCellId="1" sqref="B25:L25 B23:L23"/>
    </sheetView>
  </sheetViews>
  <sheetFormatPr baseColWidth="10" defaultColWidth="8.83203125" defaultRowHeight="15" x14ac:dyDescent="0.2"/>
  <cols>
    <col min="1" max="1" width="4.33203125" customWidth="1"/>
    <col min="15" max="15" width="35.6640625" customWidth="1"/>
  </cols>
  <sheetData>
    <row r="3" spans="1:15" x14ac:dyDescent="0.2">
      <c r="A3" t="s">
        <v>0</v>
      </c>
    </row>
    <row r="4" spans="1:15" x14ac:dyDescent="0.2">
      <c r="A4" t="s">
        <v>1</v>
      </c>
    </row>
    <row r="5" spans="1:15" x14ac:dyDescent="0.2">
      <c r="A5" t="s">
        <v>2</v>
      </c>
    </row>
    <row r="6" spans="1:15" x14ac:dyDescent="0.2">
      <c r="A6" t="s">
        <v>3</v>
      </c>
    </row>
    <row r="7" spans="1:15" x14ac:dyDescent="0.2">
      <c r="A7" t="s">
        <v>4</v>
      </c>
    </row>
    <row r="8" spans="1:15" x14ac:dyDescent="0.2">
      <c r="A8" t="s">
        <v>5</v>
      </c>
    </row>
    <row r="9" spans="1:15" x14ac:dyDescent="0.2">
      <c r="A9" t="s">
        <v>6</v>
      </c>
    </row>
    <row r="13" spans="1:15" x14ac:dyDescent="0.2">
      <c r="B13" t="s">
        <v>7</v>
      </c>
      <c r="O13" s="11"/>
    </row>
    <row r="14" spans="1:15" x14ac:dyDescent="0.2"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  <c r="O14" s="12" t="s">
        <v>16</v>
      </c>
    </row>
    <row r="15" spans="1:15" x14ac:dyDescent="0.2">
      <c r="A15" s="1" t="s">
        <v>8</v>
      </c>
      <c r="B15" s="2">
        <v>76923.625</v>
      </c>
      <c r="C15" s="3">
        <v>28190.625</v>
      </c>
      <c r="D15" s="3">
        <v>19277.625</v>
      </c>
      <c r="E15" s="3">
        <v>14857.625</v>
      </c>
      <c r="F15" s="3">
        <v>8827.625</v>
      </c>
      <c r="G15" s="3">
        <v>6958.625</v>
      </c>
      <c r="H15" s="3">
        <v>3572.625</v>
      </c>
      <c r="I15" s="3">
        <v>2494.625</v>
      </c>
      <c r="J15" s="3">
        <v>1329.625</v>
      </c>
      <c r="K15" s="3">
        <v>1306.625</v>
      </c>
      <c r="L15" s="3">
        <v>999.625</v>
      </c>
      <c r="M15" s="4"/>
      <c r="O15" s="13"/>
    </row>
    <row r="16" spans="1:15" x14ac:dyDescent="0.2">
      <c r="A16" s="1" t="s">
        <v>9</v>
      </c>
      <c r="B16" s="5">
        <v>75941.625</v>
      </c>
      <c r="C16" s="6">
        <v>28883.625</v>
      </c>
      <c r="D16" s="6">
        <v>21961.625</v>
      </c>
      <c r="E16" s="6">
        <v>13706.625</v>
      </c>
      <c r="F16" s="6">
        <v>9799.625</v>
      </c>
      <c r="G16" s="6">
        <v>6948.625</v>
      </c>
      <c r="H16" s="6">
        <v>4551.625</v>
      </c>
      <c r="I16" s="6">
        <v>3347.625</v>
      </c>
      <c r="J16" s="6">
        <v>1894.625</v>
      </c>
      <c r="K16" s="6">
        <v>1639.625</v>
      </c>
      <c r="L16" s="6">
        <v>1596.625</v>
      </c>
      <c r="M16" s="7"/>
    </row>
    <row r="17" spans="1:13" x14ac:dyDescent="0.2">
      <c r="A17" s="1" t="s">
        <v>10</v>
      </c>
      <c r="B17" s="5">
        <v>76314.625</v>
      </c>
      <c r="C17" s="6">
        <v>31115.625</v>
      </c>
      <c r="D17" s="6">
        <v>18085.625</v>
      </c>
      <c r="E17" s="6">
        <v>12613.625</v>
      </c>
      <c r="F17" s="6">
        <v>10180.625</v>
      </c>
      <c r="G17" s="6">
        <v>4671.625</v>
      </c>
      <c r="H17" s="6">
        <v>3473.625</v>
      </c>
      <c r="I17" s="6">
        <v>2789.625</v>
      </c>
      <c r="J17" s="6">
        <v>2040.625</v>
      </c>
      <c r="K17" s="6">
        <v>1900.625</v>
      </c>
      <c r="L17" s="6">
        <v>1366.625</v>
      </c>
      <c r="M17" s="7"/>
    </row>
    <row r="18" spans="1:13" x14ac:dyDescent="0.2">
      <c r="A18" s="1" t="s">
        <v>11</v>
      </c>
      <c r="B18" s="5">
        <v>76004.625</v>
      </c>
      <c r="C18" s="6">
        <v>28460.625</v>
      </c>
      <c r="D18" s="6">
        <v>17550.625</v>
      </c>
      <c r="E18" s="6">
        <v>15158.625</v>
      </c>
      <c r="F18" s="6">
        <v>6607.625</v>
      </c>
      <c r="G18" s="6">
        <v>5335.625</v>
      </c>
      <c r="H18" s="6">
        <v>4151.625</v>
      </c>
      <c r="I18" s="6">
        <v>2154.625</v>
      </c>
      <c r="J18" s="6">
        <v>2296.625</v>
      </c>
      <c r="K18" s="6">
        <v>1795.625</v>
      </c>
      <c r="L18" s="6">
        <v>1226.625</v>
      </c>
      <c r="M18" s="7"/>
    </row>
    <row r="19" spans="1:13" x14ac:dyDescent="0.2">
      <c r="A19" s="1" t="s">
        <v>12</v>
      </c>
      <c r="B19" s="5">
        <v>75531.625</v>
      </c>
      <c r="C19" s="6">
        <v>26416.625</v>
      </c>
      <c r="D19" s="6">
        <v>20544.625</v>
      </c>
      <c r="E19" s="6">
        <v>13099.625</v>
      </c>
      <c r="F19" s="6">
        <v>8064.625</v>
      </c>
      <c r="G19" s="6">
        <v>8670.625</v>
      </c>
      <c r="H19" s="6">
        <v>6703.625</v>
      </c>
      <c r="I19" s="6">
        <v>3002.625</v>
      </c>
      <c r="J19" s="6">
        <v>931.625</v>
      </c>
      <c r="K19" s="6">
        <v>1748.625</v>
      </c>
      <c r="L19" s="6">
        <v>465.625</v>
      </c>
      <c r="M19" s="7"/>
    </row>
    <row r="20" spans="1:13" x14ac:dyDescent="0.2">
      <c r="A20" s="1" t="s">
        <v>13</v>
      </c>
      <c r="B20" s="5">
        <v>75107.625</v>
      </c>
      <c r="C20" s="6">
        <v>28048.625</v>
      </c>
      <c r="D20" s="6">
        <v>17280.625</v>
      </c>
      <c r="E20" s="6">
        <v>11715.625</v>
      </c>
      <c r="F20" s="6">
        <v>7878.625</v>
      </c>
      <c r="G20" s="6">
        <v>6309.625</v>
      </c>
      <c r="H20" s="6">
        <v>4977.625</v>
      </c>
      <c r="I20" s="6">
        <v>2422.625</v>
      </c>
      <c r="J20" s="6">
        <v>1723.625</v>
      </c>
      <c r="K20" s="6">
        <v>1586.625</v>
      </c>
      <c r="L20" s="6">
        <v>1044.625</v>
      </c>
      <c r="M20" s="7"/>
    </row>
    <row r="21" spans="1:13" x14ac:dyDescent="0.2">
      <c r="A21" s="1" t="s">
        <v>14</v>
      </c>
      <c r="B21" s="5">
        <v>75033.625</v>
      </c>
      <c r="C21" s="6">
        <v>26164.625</v>
      </c>
      <c r="D21" s="6">
        <v>17258.625</v>
      </c>
      <c r="E21" s="6">
        <v>12105.625</v>
      </c>
      <c r="F21" s="6">
        <v>8326.625</v>
      </c>
      <c r="G21" s="6">
        <v>6124.625</v>
      </c>
      <c r="H21" s="6">
        <v>4310.625</v>
      </c>
      <c r="I21" s="6">
        <v>3331.625</v>
      </c>
      <c r="J21" s="6">
        <v>2331.625</v>
      </c>
      <c r="K21" s="6">
        <v>2132.625</v>
      </c>
      <c r="L21" s="6">
        <v>1461.625</v>
      </c>
      <c r="M21" s="7"/>
    </row>
    <row r="22" spans="1:13" x14ac:dyDescent="0.2">
      <c r="A22" s="1" t="s">
        <v>15</v>
      </c>
      <c r="B22" s="8">
        <v>73906.625</v>
      </c>
      <c r="C22" s="9">
        <v>23433.625</v>
      </c>
      <c r="D22" s="9">
        <v>16908.625</v>
      </c>
      <c r="E22" s="9">
        <v>12039.625</v>
      </c>
      <c r="F22" s="9">
        <v>8180.625</v>
      </c>
      <c r="G22" s="9">
        <v>6252.625</v>
      </c>
      <c r="H22" s="9">
        <v>4523.625</v>
      </c>
      <c r="I22" s="9">
        <v>3182.625</v>
      </c>
      <c r="J22" s="9">
        <v>2784.625</v>
      </c>
      <c r="K22" s="9">
        <v>1797.625</v>
      </c>
      <c r="L22" s="9">
        <v>1420.625</v>
      </c>
      <c r="M22" s="10"/>
    </row>
    <row r="23" spans="1:13" x14ac:dyDescent="0.2">
      <c r="B23">
        <f>LOG10(AVERAGE(B15:B22))</f>
        <v>4.8784959438697868</v>
      </c>
      <c r="C23">
        <f t="shared" ref="C23:L23" si="0">LOG10(AVERAGE(C15:C22))</f>
        <v>4.4407398945607852</v>
      </c>
      <c r="D23">
        <f t="shared" si="0"/>
        <v>4.2697113667912738</v>
      </c>
      <c r="E23">
        <f t="shared" si="0"/>
        <v>4.1193260109551231</v>
      </c>
      <c r="F23">
        <f t="shared" si="0"/>
        <v>3.928562265778115</v>
      </c>
      <c r="G23">
        <f t="shared" si="0"/>
        <v>3.8067902715840667</v>
      </c>
      <c r="H23">
        <f t="shared" si="0"/>
        <v>3.6563976948058214</v>
      </c>
      <c r="I23">
        <f t="shared" si="0"/>
        <v>3.4534330153498831</v>
      </c>
      <c r="J23">
        <f t="shared" si="0"/>
        <v>3.2825371486829558</v>
      </c>
      <c r="K23">
        <f t="shared" si="0"/>
        <v>3.2401746950192774</v>
      </c>
      <c r="L23">
        <f t="shared" si="0"/>
        <v>3.0783661795301831</v>
      </c>
    </row>
    <row r="24" spans="1:13" x14ac:dyDescent="0.2">
      <c r="B24">
        <f>LOG10(B23)</f>
        <v>0.68828594824045175</v>
      </c>
      <c r="C24">
        <f t="shared" ref="C24:L24" si="1">LOG10(C23)</f>
        <v>0.64745533618535223</v>
      </c>
      <c r="D24">
        <f t="shared" si="1"/>
        <v>0.63039851763704957</v>
      </c>
      <c r="E24">
        <f t="shared" si="1"/>
        <v>0.61482616417201952</v>
      </c>
      <c r="F24">
        <f t="shared" si="1"/>
        <v>0.5942336408892237</v>
      </c>
      <c r="G24">
        <f t="shared" si="1"/>
        <v>0.58055895078265052</v>
      </c>
      <c r="H24">
        <f t="shared" si="1"/>
        <v>0.56305342646726075</v>
      </c>
      <c r="I24">
        <f t="shared" si="1"/>
        <v>0.53825103661376006</v>
      </c>
      <c r="J24">
        <f t="shared" si="1"/>
        <v>0.51620964972776995</v>
      </c>
      <c r="K24">
        <f t="shared" si="1"/>
        <v>0.51056842595895746</v>
      </c>
      <c r="L24">
        <f t="shared" si="1"/>
        <v>0.48832027900763392</v>
      </c>
    </row>
    <row r="25" spans="1:13" x14ac:dyDescent="0.2">
      <c r="B25" s="14">
        <v>1</v>
      </c>
      <c r="C25" s="14">
        <v>0.69897000399999998</v>
      </c>
      <c r="D25" s="14">
        <v>0.39794000899999998</v>
      </c>
      <c r="E25" s="14">
        <v>9.6910013000000003E-2</v>
      </c>
      <c r="F25" s="14">
        <v>-0.204119983</v>
      </c>
      <c r="G25" s="14">
        <v>-0.50514997800000006</v>
      </c>
      <c r="H25" s="14">
        <v>-0.80617997399999997</v>
      </c>
      <c r="I25" s="14">
        <v>-1.10720997</v>
      </c>
      <c r="J25" s="14">
        <v>-1.4082399649999999</v>
      </c>
      <c r="K25" s="14">
        <v>-1.7092699609999999</v>
      </c>
      <c r="L25" s="14">
        <v>-2.010299957</v>
      </c>
    </row>
  </sheetData>
  <conditionalFormatting sqref="B15:L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Wilson Porteus</cp:lastModifiedBy>
  <dcterms:created xsi:type="dcterms:W3CDTF">2025-12-05T16:19:06Z</dcterms:created>
  <dcterms:modified xsi:type="dcterms:W3CDTF">2025-12-05T16:33:57Z</dcterms:modified>
</cp:coreProperties>
</file>