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Data/"/>
    </mc:Choice>
  </mc:AlternateContent>
  <xr:revisionPtr revIDLastSave="0" documentId="13_ncr:1_{BE44B163-544D-F34B-AFCB-74261E4F1D26}" xr6:coauthVersionLast="47" xr6:coauthVersionMax="47" xr10:uidLastSave="{00000000-0000-0000-0000-000000000000}"/>
  <bookViews>
    <workbookView xWindow="0" yWindow="760" windowWidth="19440" windowHeight="15000" xr2:uid="{B7C6F7D6-97AF-4838-8D4D-CBB3BB89A768}"/>
  </bookViews>
  <sheets>
    <sheet name="End poi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C23" i="1"/>
  <c r="D23" i="1"/>
  <c r="E23" i="1"/>
  <c r="F23" i="1"/>
  <c r="G23" i="1"/>
  <c r="H23" i="1"/>
  <c r="I23" i="1"/>
  <c r="J23" i="1"/>
  <c r="K23" i="1"/>
  <c r="L23" i="1"/>
  <c r="B23" i="1"/>
</calcChain>
</file>

<file path=xl/sharedStrings.xml><?xml version="1.0" encoding="utf-8"?>
<sst xmlns="http://schemas.openxmlformats.org/spreadsheetml/2006/main" count="17" uniqueCount="17">
  <si>
    <t>User: USER</t>
  </si>
  <si>
    <t>Path: C:\Program Files (x86)\BMG\Omega\User\Data\</t>
  </si>
  <si>
    <t>Test ID: 1324</t>
  </si>
  <si>
    <t>Test Name: GFP_Standard_TL</t>
  </si>
  <si>
    <t>Date: 05/12/2025</t>
  </si>
  <si>
    <t>Time: 10:33:53</t>
  </si>
  <si>
    <t>Fluorescence (FI)</t>
  </si>
  <si>
    <t>Blank corrected based on Raw Data (485/520)</t>
  </si>
  <si>
    <t>A</t>
  </si>
  <si>
    <t>B</t>
  </si>
  <si>
    <t>C</t>
  </si>
  <si>
    <t>D</t>
  </si>
  <si>
    <t>E</t>
  </si>
  <si>
    <t>F</t>
  </si>
  <si>
    <t>G</t>
  </si>
  <si>
    <t>H</t>
  </si>
  <si>
    <t>Average of all blanks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</si>
</sst>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4" xfId="0" applyBorder="1"/>
    <xf numFmtId="0" fontId="1" fillId="0" borderId="10" xfId="0" applyFont="1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CA0E-2D2C-41C3-B51C-85238AB09070}">
  <dimension ref="A3:O23"/>
  <sheetViews>
    <sheetView tabSelected="1" topLeftCell="A5" zoomScale="125" workbookViewId="0">
      <selection activeCell="B23" sqref="B23"/>
    </sheetView>
  </sheetViews>
  <sheetFormatPr baseColWidth="10" defaultColWidth="8.83203125" defaultRowHeight="15" x14ac:dyDescent="0.2"/>
  <cols>
    <col min="1" max="1" width="4.33203125" customWidth="1"/>
    <col min="15" max="15" width="35.6640625" customWidth="1"/>
  </cols>
  <sheetData>
    <row r="3" spans="1:15" x14ac:dyDescent="0.2">
      <c r="A3" t="s">
        <v>0</v>
      </c>
    </row>
    <row r="4" spans="1:15" x14ac:dyDescent="0.2">
      <c r="A4" t="s">
        <v>1</v>
      </c>
    </row>
    <row r="5" spans="1:15" x14ac:dyDescent="0.2">
      <c r="A5" t="s">
        <v>2</v>
      </c>
    </row>
    <row r="6" spans="1:15" x14ac:dyDescent="0.2">
      <c r="A6" t="s">
        <v>3</v>
      </c>
    </row>
    <row r="7" spans="1:15" x14ac:dyDescent="0.2">
      <c r="A7" t="s">
        <v>4</v>
      </c>
    </row>
    <row r="8" spans="1:15" x14ac:dyDescent="0.2">
      <c r="A8" t="s">
        <v>5</v>
      </c>
    </row>
    <row r="9" spans="1:15" x14ac:dyDescent="0.2">
      <c r="A9" t="s">
        <v>6</v>
      </c>
    </row>
    <row r="13" spans="1:15" x14ac:dyDescent="0.2">
      <c r="B13" t="s">
        <v>7</v>
      </c>
      <c r="O13" s="11"/>
    </row>
    <row r="14" spans="1:15" x14ac:dyDescent="0.2"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>
        <v>11</v>
      </c>
      <c r="M14" s="1">
        <v>12</v>
      </c>
      <c r="O14" s="12" t="s">
        <v>16</v>
      </c>
    </row>
    <row r="15" spans="1:15" x14ac:dyDescent="0.2">
      <c r="A15" s="1" t="s">
        <v>8</v>
      </c>
      <c r="B15" s="2">
        <v>80224</v>
      </c>
      <c r="C15" s="3">
        <v>44272</v>
      </c>
      <c r="D15" s="3">
        <v>22276</v>
      </c>
      <c r="E15" s="3">
        <v>11372</v>
      </c>
      <c r="F15" s="3">
        <v>5605</v>
      </c>
      <c r="G15" s="3">
        <v>2810</v>
      </c>
      <c r="H15" s="3">
        <v>1400</v>
      </c>
      <c r="I15" s="3">
        <v>739</v>
      </c>
      <c r="J15" s="3">
        <v>393</v>
      </c>
      <c r="K15" s="3">
        <v>201</v>
      </c>
      <c r="L15" s="3">
        <v>113</v>
      </c>
      <c r="M15" s="4"/>
      <c r="O15" s="13"/>
    </row>
    <row r="16" spans="1:15" x14ac:dyDescent="0.2">
      <c r="A16" s="1" t="s">
        <v>9</v>
      </c>
      <c r="B16" s="5">
        <v>78332</v>
      </c>
      <c r="C16" s="6">
        <v>43155</v>
      </c>
      <c r="D16" s="6">
        <v>21989</v>
      </c>
      <c r="E16" s="6">
        <v>11278</v>
      </c>
      <c r="F16" s="6">
        <v>5547</v>
      </c>
      <c r="G16" s="6">
        <v>2813</v>
      </c>
      <c r="H16" s="6">
        <v>1410</v>
      </c>
      <c r="I16" s="6">
        <v>711</v>
      </c>
      <c r="J16" s="6">
        <v>379</v>
      </c>
      <c r="K16" s="6">
        <v>197</v>
      </c>
      <c r="L16" s="6">
        <v>106</v>
      </c>
      <c r="M16" s="7"/>
    </row>
    <row r="17" spans="1:13" x14ac:dyDescent="0.2">
      <c r="A17" s="1" t="s">
        <v>10</v>
      </c>
      <c r="B17" s="5">
        <v>78213</v>
      </c>
      <c r="C17" s="6">
        <v>42749</v>
      </c>
      <c r="D17" s="6">
        <v>22214</v>
      </c>
      <c r="E17" s="6">
        <v>11246</v>
      </c>
      <c r="F17" s="6">
        <v>5699</v>
      </c>
      <c r="G17" s="6">
        <v>2790</v>
      </c>
      <c r="H17" s="6">
        <v>1462</v>
      </c>
      <c r="I17" s="6">
        <v>752</v>
      </c>
      <c r="J17" s="6">
        <v>388</v>
      </c>
      <c r="K17" s="6">
        <v>200</v>
      </c>
      <c r="L17" s="6">
        <v>104</v>
      </c>
      <c r="M17" s="7"/>
    </row>
    <row r="18" spans="1:13" x14ac:dyDescent="0.2">
      <c r="A18" s="1" t="s">
        <v>11</v>
      </c>
      <c r="B18" s="5">
        <v>79154</v>
      </c>
      <c r="C18" s="6">
        <v>43793</v>
      </c>
      <c r="D18" s="6">
        <v>22224</v>
      </c>
      <c r="E18" s="6">
        <v>11133</v>
      </c>
      <c r="F18" s="6">
        <v>5565</v>
      </c>
      <c r="G18" s="6">
        <v>2674</v>
      </c>
      <c r="H18" s="6">
        <v>1380</v>
      </c>
      <c r="I18" s="6">
        <v>707</v>
      </c>
      <c r="J18" s="6">
        <v>357</v>
      </c>
      <c r="K18" s="6">
        <v>198</v>
      </c>
      <c r="L18" s="6">
        <v>104</v>
      </c>
      <c r="M18" s="7"/>
    </row>
    <row r="19" spans="1:13" x14ac:dyDescent="0.2">
      <c r="A19" s="1" t="s">
        <v>12</v>
      </c>
      <c r="B19" s="5">
        <v>79851</v>
      </c>
      <c r="C19" s="6">
        <v>43262</v>
      </c>
      <c r="D19" s="6">
        <v>22039</v>
      </c>
      <c r="E19" s="6">
        <v>11068</v>
      </c>
      <c r="F19" s="6">
        <v>5590</v>
      </c>
      <c r="G19" s="6">
        <v>2803</v>
      </c>
      <c r="H19" s="6">
        <v>1410</v>
      </c>
      <c r="I19" s="6">
        <v>712</v>
      </c>
      <c r="J19" s="6">
        <v>365</v>
      </c>
      <c r="K19" s="6">
        <v>185</v>
      </c>
      <c r="L19" s="6">
        <v>84</v>
      </c>
      <c r="M19" s="7"/>
    </row>
    <row r="20" spans="1:13" x14ac:dyDescent="0.2">
      <c r="A20" s="1" t="s">
        <v>13</v>
      </c>
      <c r="B20" s="5">
        <v>78790</v>
      </c>
      <c r="C20" s="6">
        <v>43238</v>
      </c>
      <c r="D20" s="6">
        <v>22194</v>
      </c>
      <c r="E20" s="6">
        <v>11286</v>
      </c>
      <c r="F20" s="6">
        <v>5487</v>
      </c>
      <c r="G20" s="6">
        <v>2712</v>
      </c>
      <c r="H20" s="6">
        <v>1328</v>
      </c>
      <c r="I20" s="6">
        <v>689</v>
      </c>
      <c r="J20" s="6">
        <v>364</v>
      </c>
      <c r="K20" s="6">
        <v>185</v>
      </c>
      <c r="L20" s="6">
        <v>78</v>
      </c>
      <c r="M20" s="7"/>
    </row>
    <row r="21" spans="1:13" x14ac:dyDescent="0.2">
      <c r="A21" s="1" t="s">
        <v>14</v>
      </c>
      <c r="B21" s="5">
        <v>78179</v>
      </c>
      <c r="C21" s="6">
        <v>42888</v>
      </c>
      <c r="D21" s="6">
        <v>21969</v>
      </c>
      <c r="E21" s="6">
        <v>10847</v>
      </c>
      <c r="F21" s="6">
        <v>5448</v>
      </c>
      <c r="G21" s="6">
        <v>2746</v>
      </c>
      <c r="H21" s="6">
        <v>1340</v>
      </c>
      <c r="I21" s="6">
        <v>679</v>
      </c>
      <c r="J21" s="6">
        <v>339</v>
      </c>
      <c r="K21" s="6">
        <v>181</v>
      </c>
      <c r="L21" s="6">
        <v>97</v>
      </c>
      <c r="M21" s="7"/>
    </row>
    <row r="22" spans="1:13" x14ac:dyDescent="0.2">
      <c r="A22" s="1" t="s">
        <v>15</v>
      </c>
      <c r="B22" s="8">
        <v>76912</v>
      </c>
      <c r="C22" s="9">
        <v>42159</v>
      </c>
      <c r="D22" s="9">
        <v>21487</v>
      </c>
      <c r="E22" s="9">
        <v>10945</v>
      </c>
      <c r="F22" s="9">
        <v>5489</v>
      </c>
      <c r="G22" s="9">
        <v>2697</v>
      </c>
      <c r="H22" s="9">
        <v>1326</v>
      </c>
      <c r="I22" s="9">
        <v>687</v>
      </c>
      <c r="J22" s="9">
        <v>332</v>
      </c>
      <c r="K22" s="9">
        <v>184</v>
      </c>
      <c r="L22" s="9">
        <v>93</v>
      </c>
      <c r="M22" s="10"/>
    </row>
    <row r="23" spans="1:13" x14ac:dyDescent="0.2">
      <c r="B23">
        <f>STDEV(B15:B22)/AVERAGE(B15:B22)</f>
        <v>1.3327402239383054E-2</v>
      </c>
      <c r="C23">
        <f t="shared" ref="C23:L23" si="0">STDEV(C15:C22)/AVERAGE(C15:C22)</f>
        <v>1.4881567215052171E-2</v>
      </c>
      <c r="D23">
        <f t="shared" si="0"/>
        <v>1.158004263305447E-2</v>
      </c>
      <c r="E23">
        <f t="shared" si="0"/>
        <v>1.64075556795256E-2</v>
      </c>
      <c r="F23">
        <f t="shared" si="0"/>
        <v>1.4443454457297989E-2</v>
      </c>
      <c r="G23">
        <f t="shared" si="0"/>
        <v>2.0237591787820263E-2</v>
      </c>
      <c r="H23">
        <f t="shared" si="0"/>
        <v>3.4715039484891241E-2</v>
      </c>
      <c r="I23">
        <f t="shared" si="0"/>
        <v>3.5925995255718823E-2</v>
      </c>
      <c r="J23">
        <f t="shared" si="0"/>
        <v>5.9887967245951669E-2</v>
      </c>
      <c r="K23">
        <f t="shared" si="0"/>
        <v>4.353394789288844E-2</v>
      </c>
      <c r="L23">
        <f t="shared" si="0"/>
        <v>0.12150351671498827</v>
      </c>
      <c r="M23">
        <f>AVERAGE(B23:L23)</f>
        <v>3.5131280055142905E-2</v>
      </c>
    </row>
  </sheetData>
  <conditionalFormatting sqref="B15:L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End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Porteus, Wilson S</dc:creator>
  <cp:lastModifiedBy>Wilson Porteus</cp:lastModifiedBy>
  <dcterms:created xsi:type="dcterms:W3CDTF">2025-12-05T10:35:04Z</dcterms:created>
  <dcterms:modified xsi:type="dcterms:W3CDTF">2025-12-05T16:33:57Z</dcterms:modified>
</cp:coreProperties>
</file>